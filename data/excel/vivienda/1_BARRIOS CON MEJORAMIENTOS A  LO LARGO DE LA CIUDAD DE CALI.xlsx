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184d3c2b1d305d/PROYECTOS/SVSH_2024/OBSERVATORIO DE VIVIENDA/REQUERIMIENTOS/"/>
    </mc:Choice>
  </mc:AlternateContent>
  <xr:revisionPtr revIDLastSave="17" documentId="8_{5DBEF604-D5C5-48E9-9507-C332AF458EE4}" xr6:coauthVersionLast="47" xr6:coauthVersionMax="47" xr10:uidLastSave="{9F6F97E7-EC11-4383-BD1F-959A7C7FECB5}"/>
  <bookViews>
    <workbookView xWindow="-96" yWindow="0" windowWidth="11712" windowHeight="13056" xr2:uid="{6C8E10F0-5FEB-4B76-A1B7-B20865191D83}"/>
  </bookViews>
  <sheets>
    <sheet name="Hoja2" sheetId="2" r:id="rId1"/>
    <sheet name="Hoja3" sheetId="3" r:id="rId2"/>
    <sheet name="Hoja1" sheetId="1" r:id="rId3"/>
  </sheets>
  <definedNames>
    <definedName name="_xlnm._FilterDatabase" localSheetId="2" hidden="1">Hoja1!$A$2:$E$35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</calcChain>
</file>

<file path=xl/sharedStrings.xml><?xml version="1.0" encoding="utf-8"?>
<sst xmlns="http://schemas.openxmlformats.org/spreadsheetml/2006/main" count="127" uniqueCount="39">
  <si>
    <t xml:space="preserve">MEJORAMIENTOS EN LOS BARRIOS A LO LARGO DE LA CIUDAD CALI </t>
  </si>
  <si>
    <t xml:space="preserve">COMUNA </t>
  </si>
  <si>
    <t>BARRRIO</t>
  </si>
  <si>
    <t xml:space="preserve">CONVOCATORIA </t>
  </si>
  <si>
    <t>CANTIDAD DE MEJORAMIENTOS</t>
  </si>
  <si>
    <t xml:space="preserve">ESTADO </t>
  </si>
  <si>
    <t xml:space="preserve">CALI MIO </t>
  </si>
  <si>
    <t>ASIGNADOS EN EJECUCIÓN</t>
  </si>
  <si>
    <t>PETECUY I</t>
  </si>
  <si>
    <t>PETECUY II</t>
  </si>
  <si>
    <t>PETECUY III</t>
  </si>
  <si>
    <t>SAN LUIS I</t>
  </si>
  <si>
    <t>SANLUIS II</t>
  </si>
  <si>
    <t>JORGE ELIECER GAITAN</t>
  </si>
  <si>
    <t>EMPRESTITO</t>
  </si>
  <si>
    <t>ASIGNADOS</t>
  </si>
  <si>
    <t>ALFONSO LOPEZ I</t>
  </si>
  <si>
    <t>ALFONSO LOPEZ II</t>
  </si>
  <si>
    <t>CONVENIO ARGOS</t>
  </si>
  <si>
    <t xml:space="preserve">CONVENIO MINISTERIO </t>
  </si>
  <si>
    <t>EJECUTADO</t>
  </si>
  <si>
    <t>CHARCO AZUL</t>
  </si>
  <si>
    <t>MARROQUIN III</t>
  </si>
  <si>
    <t>LOS LAGOS</t>
  </si>
  <si>
    <t>EL POBALO II</t>
  </si>
  <si>
    <t>ASIGNADO</t>
  </si>
  <si>
    <t>JOSE MANUEL MARROQUIN I</t>
  </si>
  <si>
    <t>JOSE MANUEL MARROQUIN II</t>
  </si>
  <si>
    <t>ALFONSO BONILLA ARAGON</t>
  </si>
  <si>
    <t>MOJICA</t>
  </si>
  <si>
    <t>LOS COMUNEROS I</t>
  </si>
  <si>
    <t>LAUREANO GOMEZ</t>
  </si>
  <si>
    <t>EL RETIRO</t>
  </si>
  <si>
    <t>EL VALLADO</t>
  </si>
  <si>
    <t>CIUDAD CORDOBA</t>
  </si>
  <si>
    <t>EL MORICHAL</t>
  </si>
  <si>
    <t>Etiquetas de fila</t>
  </si>
  <si>
    <t>Total general</t>
  </si>
  <si>
    <t>Suma de CANTIDAD DE MEJORAMIENTOS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</si>
</sst>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Vargas" refreshedDate="46094.735632060183" createdVersion="8" refreshedVersion="8" minRefreshableVersion="3" recordCount="34" xr:uid="{5A1813DB-5972-43C9-88D1-6B4A41EDAF33}">
  <cacheSource type="worksheet">
    <worksheetSource ref="A2:E1048576" sheet="Hoja1"/>
  </cacheSource>
  <cacheFields count="5">
    <cacheField name="COMUNA " numFmtId="0">
      <sharedItems containsString="0" containsBlank="1" containsNumber="1" containsInteger="1" minValue="6" maxValue="15"/>
    </cacheField>
    <cacheField name="BARRRIO" numFmtId="0">
      <sharedItems containsBlank="1" count="24">
        <s v="CALI MIO "/>
        <s v="PETECUY I"/>
        <s v="PETECUY II"/>
        <s v="PETECUY III"/>
        <s v="SAN LUIS I"/>
        <s v="SANLUIS II"/>
        <s v="JORGE ELIECER GAITAN"/>
        <s v="ALFONSO LOPEZ I"/>
        <s v="ALFONSO LOPEZ II"/>
        <s v="CHARCO AZUL"/>
        <s v="MARROQUIN III"/>
        <s v="LOS LAGOS"/>
        <s v="EL POBALO II"/>
        <s v="JOSE MANUEL MARROQUIN I"/>
        <s v="JOSE MANUEL MARROQUIN II"/>
        <s v="ALFONSO BONILLA ARAGON"/>
        <s v="MOJICA"/>
        <s v="LOS COMUNEROS I"/>
        <s v="LAUREANO GOMEZ"/>
        <s v="EL RETIRO"/>
        <s v="EL VALLADO"/>
        <s v="CIUDAD CORDOBA"/>
        <s v="EL MORICHAL"/>
        <m/>
      </sharedItems>
    </cacheField>
    <cacheField name="CONVOCATORIA " numFmtId="0">
      <sharedItems containsBlank="1"/>
    </cacheField>
    <cacheField name="CANTIDAD DE MEJORAMIENTOS" numFmtId="0">
      <sharedItems containsString="0" containsBlank="1" containsNumber="1" containsInteger="1" minValue="1" maxValue="348"/>
    </cacheField>
    <cacheField name="ESTAD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6"/>
    <x v="0"/>
    <s v="CONVENIO MINISTERIO "/>
    <n v="4"/>
    <s v="ASIGNADOS EN EJECUCIÓN"/>
  </r>
  <r>
    <m/>
    <x v="1"/>
    <m/>
    <n v="4"/>
    <s v="ASIGNADOS EN EJECUCIÓN"/>
  </r>
  <r>
    <m/>
    <x v="2"/>
    <m/>
    <n v="7"/>
    <s v="ASIGNADOS EN EJECUCIÓN"/>
  </r>
  <r>
    <m/>
    <x v="3"/>
    <m/>
    <n v="7"/>
    <s v="ASIGNADOS EN EJECUCIÓN"/>
  </r>
  <r>
    <m/>
    <x v="4"/>
    <m/>
    <n v="6"/>
    <s v="ASIGNADOS EN EJECUCIÓN"/>
  </r>
  <r>
    <m/>
    <x v="5"/>
    <m/>
    <n v="5"/>
    <s v="ASIGNADOS EN EJECUCIÓN"/>
  </r>
  <r>
    <m/>
    <x v="6"/>
    <m/>
    <n v="5"/>
    <s v="ASIGNADOS EN EJECUCIÓN"/>
  </r>
  <r>
    <m/>
    <x v="6"/>
    <s v="EMPRESTITO"/>
    <n v="3"/>
    <s v="ASIGNADOS"/>
  </r>
  <r>
    <n v="7"/>
    <x v="7"/>
    <s v="CONVENIO ARGOS"/>
    <n v="12"/>
    <s v="EJECUTADO"/>
  </r>
  <r>
    <m/>
    <x v="8"/>
    <m/>
    <n v="1"/>
    <s v="EJECUTADO"/>
  </r>
  <r>
    <n v="13"/>
    <x v="9"/>
    <s v="EMPRESTITO"/>
    <n v="12"/>
    <s v="ASIGNADO"/>
  </r>
  <r>
    <m/>
    <x v="10"/>
    <m/>
    <n v="2"/>
    <s v="ASIGNADO"/>
  </r>
  <r>
    <m/>
    <x v="11"/>
    <m/>
    <n v="78"/>
    <s v="ASIGNADO"/>
  </r>
  <r>
    <m/>
    <x v="12"/>
    <m/>
    <n v="2"/>
    <s v="ASIGNADO"/>
  </r>
  <r>
    <n v="14"/>
    <x v="13"/>
    <s v="CONVENIO MINISTERIO "/>
    <n v="4"/>
    <s v="ASIGNADOS EN EJECUCIÓN"/>
  </r>
  <r>
    <m/>
    <x v="14"/>
    <m/>
    <n v="8"/>
    <s v="ASIGNADOS EN EJECUCIÓN"/>
  </r>
  <r>
    <m/>
    <x v="15"/>
    <m/>
    <n v="3"/>
    <s v="ASIGNADOS EN EJECUCIÓN"/>
  </r>
  <r>
    <m/>
    <x v="13"/>
    <s v="EMPRESTITO"/>
    <n v="9"/>
    <s v="ASIGNADOS"/>
  </r>
  <r>
    <m/>
    <x v="14"/>
    <m/>
    <n v="6"/>
    <s v="ASIGNADOS"/>
  </r>
  <r>
    <m/>
    <x v="15"/>
    <m/>
    <n v="9"/>
    <s v="ASIGNADOS"/>
  </r>
  <r>
    <n v="15"/>
    <x v="16"/>
    <s v="CONVENIO MINISTERIO "/>
    <n v="13"/>
    <s v="ASIGNADOS EN EJECUCIÓN"/>
  </r>
  <r>
    <m/>
    <x v="17"/>
    <m/>
    <n v="8"/>
    <s v="ASIGNADOS EN EJECUCIÓN"/>
  </r>
  <r>
    <m/>
    <x v="18"/>
    <m/>
    <n v="9"/>
    <s v="ASIGNADOS EN EJECUCIÓN"/>
  </r>
  <r>
    <m/>
    <x v="19"/>
    <m/>
    <n v="7"/>
    <s v="ASIGNADOS EN EJECUCIÓN"/>
  </r>
  <r>
    <m/>
    <x v="20"/>
    <m/>
    <n v="14"/>
    <s v="ASIGNADOS EN EJECUCIÓN"/>
  </r>
  <r>
    <m/>
    <x v="21"/>
    <m/>
    <n v="24"/>
    <s v="ASIGNADOS EN EJECUCIÓN"/>
  </r>
  <r>
    <m/>
    <x v="22"/>
    <m/>
    <n v="11"/>
    <s v="ASIGNADOS EN EJECUCIÓN"/>
  </r>
  <r>
    <m/>
    <x v="16"/>
    <s v="EMPRESTITO"/>
    <n v="11"/>
    <s v="EJECUTADO"/>
  </r>
  <r>
    <m/>
    <x v="17"/>
    <m/>
    <n v="17"/>
    <s v="EJECUTADO"/>
  </r>
  <r>
    <m/>
    <x v="18"/>
    <m/>
    <n v="9"/>
    <s v="EJECUTADO"/>
  </r>
  <r>
    <m/>
    <x v="19"/>
    <m/>
    <n v="18"/>
    <s v="EJECUTADO"/>
  </r>
  <r>
    <m/>
    <x v="20"/>
    <m/>
    <n v="20"/>
    <s v="EJECUTADO"/>
  </r>
  <r>
    <m/>
    <x v="23"/>
    <m/>
    <n v="348"/>
    <m/>
  </r>
  <r>
    <m/>
    <x v="2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A7264-DCB8-4F47-88AD-8127B18814B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5">
    <pivotField showAll="0"/>
    <pivotField axis="axisRow" showAll="0">
      <items count="25">
        <item x="15"/>
        <item x="7"/>
        <item x="8"/>
        <item x="0"/>
        <item x="9"/>
        <item x="21"/>
        <item x="22"/>
        <item x="12"/>
        <item x="19"/>
        <item x="20"/>
        <item x="6"/>
        <item x="13"/>
        <item x="14"/>
        <item x="18"/>
        <item x="17"/>
        <item x="11"/>
        <item x="10"/>
        <item x="16"/>
        <item x="1"/>
        <item x="2"/>
        <item x="3"/>
        <item x="4"/>
        <item x="5"/>
        <item h="1" x="23"/>
        <item t="default"/>
      </items>
    </pivotField>
    <pivotField showAll="0"/>
    <pivotField dataField="1"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a de CANTIDAD DE MEJORAMIENT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A96A-ACE7-487D-A089-9F95CB470B43}">
  <dimension ref="A3:B27"/>
  <sheetViews>
    <sheetView tabSelected="1" topLeftCell="A3" workbookViewId="0">
      <selection activeCell="K11" sqref="K11"/>
    </sheetView>
  </sheetViews>
  <sheetFormatPr baseColWidth="10" defaultRowHeight="14.4" x14ac:dyDescent="0.3"/>
  <cols>
    <col min="1" max="1" width="25.77734375" bestFit="1" customWidth="1"/>
    <col min="2" max="2" width="6.6640625" customWidth="1"/>
  </cols>
  <sheetData>
    <row r="3" spans="1:2" x14ac:dyDescent="0.3">
      <c r="A3" s="25" t="s">
        <v>36</v>
      </c>
      <c r="B3" t="s">
        <v>38</v>
      </c>
    </row>
    <row r="4" spans="1:2" x14ac:dyDescent="0.3">
      <c r="A4" s="26" t="s">
        <v>28</v>
      </c>
      <c r="B4" s="27">
        <v>12</v>
      </c>
    </row>
    <row r="5" spans="1:2" x14ac:dyDescent="0.3">
      <c r="A5" s="26" t="s">
        <v>16</v>
      </c>
      <c r="B5" s="27">
        <v>12</v>
      </c>
    </row>
    <row r="6" spans="1:2" x14ac:dyDescent="0.3">
      <c r="A6" s="26" t="s">
        <v>17</v>
      </c>
      <c r="B6" s="27">
        <v>1</v>
      </c>
    </row>
    <row r="7" spans="1:2" x14ac:dyDescent="0.3">
      <c r="A7" s="26" t="s">
        <v>6</v>
      </c>
      <c r="B7" s="27">
        <v>4</v>
      </c>
    </row>
    <row r="8" spans="1:2" x14ac:dyDescent="0.3">
      <c r="A8" s="26" t="s">
        <v>21</v>
      </c>
      <c r="B8" s="27">
        <v>12</v>
      </c>
    </row>
    <row r="9" spans="1:2" x14ac:dyDescent="0.3">
      <c r="A9" s="26" t="s">
        <v>34</v>
      </c>
      <c r="B9" s="27">
        <v>24</v>
      </c>
    </row>
    <row r="10" spans="1:2" x14ac:dyDescent="0.3">
      <c r="A10" s="26" t="s">
        <v>35</v>
      </c>
      <c r="B10" s="27">
        <v>11</v>
      </c>
    </row>
    <row r="11" spans="1:2" x14ac:dyDescent="0.3">
      <c r="A11" s="26" t="s">
        <v>24</v>
      </c>
      <c r="B11" s="27">
        <v>2</v>
      </c>
    </row>
    <row r="12" spans="1:2" x14ac:dyDescent="0.3">
      <c r="A12" s="26" t="s">
        <v>32</v>
      </c>
      <c r="B12" s="27">
        <v>25</v>
      </c>
    </row>
    <row r="13" spans="1:2" x14ac:dyDescent="0.3">
      <c r="A13" s="26" t="s">
        <v>33</v>
      </c>
      <c r="B13" s="27">
        <v>34</v>
      </c>
    </row>
    <row r="14" spans="1:2" x14ac:dyDescent="0.3">
      <c r="A14" s="26" t="s">
        <v>13</v>
      </c>
      <c r="B14" s="27">
        <v>8</v>
      </c>
    </row>
    <row r="15" spans="1:2" x14ac:dyDescent="0.3">
      <c r="A15" s="26" t="s">
        <v>26</v>
      </c>
      <c r="B15" s="27">
        <v>13</v>
      </c>
    </row>
    <row r="16" spans="1:2" x14ac:dyDescent="0.3">
      <c r="A16" s="26" t="s">
        <v>27</v>
      </c>
      <c r="B16" s="27">
        <v>14</v>
      </c>
    </row>
    <row r="17" spans="1:2" x14ac:dyDescent="0.3">
      <c r="A17" s="26" t="s">
        <v>31</v>
      </c>
      <c r="B17" s="27">
        <v>18</v>
      </c>
    </row>
    <row r="18" spans="1:2" x14ac:dyDescent="0.3">
      <c r="A18" s="26" t="s">
        <v>30</v>
      </c>
      <c r="B18" s="27">
        <v>25</v>
      </c>
    </row>
    <row r="19" spans="1:2" x14ac:dyDescent="0.3">
      <c r="A19" s="26" t="s">
        <v>23</v>
      </c>
      <c r="B19" s="27">
        <v>78</v>
      </c>
    </row>
    <row r="20" spans="1:2" x14ac:dyDescent="0.3">
      <c r="A20" s="26" t="s">
        <v>22</v>
      </c>
      <c r="B20" s="27">
        <v>2</v>
      </c>
    </row>
    <row r="21" spans="1:2" x14ac:dyDescent="0.3">
      <c r="A21" s="26" t="s">
        <v>29</v>
      </c>
      <c r="B21" s="27">
        <v>24</v>
      </c>
    </row>
    <row r="22" spans="1:2" x14ac:dyDescent="0.3">
      <c r="A22" s="26" t="s">
        <v>8</v>
      </c>
      <c r="B22" s="27">
        <v>4</v>
      </c>
    </row>
    <row r="23" spans="1:2" x14ac:dyDescent="0.3">
      <c r="A23" s="26" t="s">
        <v>9</v>
      </c>
      <c r="B23" s="27">
        <v>7</v>
      </c>
    </row>
    <row r="24" spans="1:2" x14ac:dyDescent="0.3">
      <c r="A24" s="26" t="s">
        <v>10</v>
      </c>
      <c r="B24" s="27">
        <v>7</v>
      </c>
    </row>
    <row r="25" spans="1:2" x14ac:dyDescent="0.3">
      <c r="A25" s="26" t="s">
        <v>11</v>
      </c>
      <c r="B25" s="27">
        <v>6</v>
      </c>
    </row>
    <row r="26" spans="1:2" x14ac:dyDescent="0.3">
      <c r="A26" s="26" t="s">
        <v>12</v>
      </c>
      <c r="B26" s="27">
        <v>5</v>
      </c>
    </row>
    <row r="27" spans="1:2" x14ac:dyDescent="0.3">
      <c r="A27" s="26" t="s">
        <v>37</v>
      </c>
      <c r="B27" s="27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842D-8B2B-4C5D-A587-ED4DE6049816}">
  <dimension ref="A1:A23"/>
  <sheetViews>
    <sheetView workbookViewId="0">
      <selection sqref="A1:A23"/>
    </sheetView>
  </sheetViews>
  <sheetFormatPr baseColWidth="10" defaultRowHeight="14.4" x14ac:dyDescent="0.3"/>
  <cols>
    <col min="1" max="1" width="31.77734375" customWidth="1"/>
  </cols>
  <sheetData>
    <row r="1" spans="1:1" x14ac:dyDescent="0.3">
      <c r="A1" s="26" t="s">
        <v>28</v>
      </c>
    </row>
    <row r="2" spans="1:1" x14ac:dyDescent="0.3">
      <c r="A2" s="26" t="s">
        <v>16</v>
      </c>
    </row>
    <row r="3" spans="1:1" x14ac:dyDescent="0.3">
      <c r="A3" s="26" t="s">
        <v>17</v>
      </c>
    </row>
    <row r="4" spans="1:1" x14ac:dyDescent="0.3">
      <c r="A4" s="26" t="s">
        <v>6</v>
      </c>
    </row>
    <row r="5" spans="1:1" x14ac:dyDescent="0.3">
      <c r="A5" s="26" t="s">
        <v>21</v>
      </c>
    </row>
    <row r="6" spans="1:1" x14ac:dyDescent="0.3">
      <c r="A6" s="26" t="s">
        <v>34</v>
      </c>
    </row>
    <row r="7" spans="1:1" x14ac:dyDescent="0.3">
      <c r="A7" s="26" t="s">
        <v>35</v>
      </c>
    </row>
    <row r="8" spans="1:1" x14ac:dyDescent="0.3">
      <c r="A8" s="26" t="s">
        <v>24</v>
      </c>
    </row>
    <row r="9" spans="1:1" x14ac:dyDescent="0.3">
      <c r="A9" s="26" t="s">
        <v>32</v>
      </c>
    </row>
    <row r="10" spans="1:1" x14ac:dyDescent="0.3">
      <c r="A10" s="26" t="s">
        <v>33</v>
      </c>
    </row>
    <row r="11" spans="1:1" x14ac:dyDescent="0.3">
      <c r="A11" s="26" t="s">
        <v>13</v>
      </c>
    </row>
    <row r="12" spans="1:1" x14ac:dyDescent="0.3">
      <c r="A12" s="26" t="s">
        <v>26</v>
      </c>
    </row>
    <row r="13" spans="1:1" x14ac:dyDescent="0.3">
      <c r="A13" s="26" t="s">
        <v>27</v>
      </c>
    </row>
    <row r="14" spans="1:1" x14ac:dyDescent="0.3">
      <c r="A14" s="26" t="s">
        <v>31</v>
      </c>
    </row>
    <row r="15" spans="1:1" x14ac:dyDescent="0.3">
      <c r="A15" s="26" t="s">
        <v>30</v>
      </c>
    </row>
    <row r="16" spans="1:1" x14ac:dyDescent="0.3">
      <c r="A16" s="26" t="s">
        <v>23</v>
      </c>
    </row>
    <row r="17" spans="1:1" x14ac:dyDescent="0.3">
      <c r="A17" s="26" t="s">
        <v>22</v>
      </c>
    </row>
    <row r="18" spans="1:1" x14ac:dyDescent="0.3">
      <c r="A18" s="26" t="s">
        <v>29</v>
      </c>
    </row>
    <row r="19" spans="1:1" x14ac:dyDescent="0.3">
      <c r="A19" s="26" t="s">
        <v>8</v>
      </c>
    </row>
    <row r="20" spans="1:1" x14ac:dyDescent="0.3">
      <c r="A20" s="26" t="s">
        <v>9</v>
      </c>
    </row>
    <row r="21" spans="1:1" x14ac:dyDescent="0.3">
      <c r="A21" s="26" t="s">
        <v>10</v>
      </c>
    </row>
    <row r="22" spans="1:1" x14ac:dyDescent="0.3">
      <c r="A22" s="26" t="s">
        <v>11</v>
      </c>
    </row>
    <row r="23" spans="1:1" x14ac:dyDescent="0.3">
      <c r="A23" s="2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7E0D-A046-48BA-BA03-3F1443F4F744}">
  <dimension ref="A1:E35"/>
  <sheetViews>
    <sheetView topLeftCell="A10" workbookViewId="0">
      <selection activeCell="B21" sqref="B21"/>
    </sheetView>
  </sheetViews>
  <sheetFormatPr baseColWidth="10" defaultRowHeight="14.4" x14ac:dyDescent="0.3"/>
  <cols>
    <col min="2" max="2" width="28.6640625" customWidth="1"/>
    <col min="3" max="3" width="21.21875" bestFit="1" customWidth="1"/>
    <col min="4" max="4" width="27.77734375" style="1" bestFit="1" customWidth="1"/>
    <col min="5" max="5" width="23.5546875" bestFit="1" customWidth="1"/>
  </cols>
  <sheetData>
    <row r="1" spans="1:5" ht="15" thickBot="1" x14ac:dyDescent="0.35">
      <c r="A1" s="14" t="s">
        <v>0</v>
      </c>
      <c r="B1" s="15"/>
      <c r="C1" s="15"/>
      <c r="D1" s="15"/>
      <c r="E1" s="16"/>
    </row>
    <row r="2" spans="1:5" ht="15" thickBot="1" x14ac:dyDescent="0.35">
      <c r="A2" s="2" t="s">
        <v>1</v>
      </c>
      <c r="B2" s="2" t="s">
        <v>2</v>
      </c>
      <c r="C2" s="9" t="s">
        <v>3</v>
      </c>
      <c r="D2" s="9" t="s">
        <v>4</v>
      </c>
      <c r="E2" s="10" t="s">
        <v>5</v>
      </c>
    </row>
    <row r="3" spans="1:5" x14ac:dyDescent="0.3">
      <c r="A3" s="22">
        <v>6</v>
      </c>
      <c r="B3" s="5" t="s">
        <v>6</v>
      </c>
      <c r="C3" s="23" t="s">
        <v>19</v>
      </c>
      <c r="D3" s="3">
        <v>4</v>
      </c>
      <c r="E3" s="11" t="s">
        <v>7</v>
      </c>
    </row>
    <row r="4" spans="1:5" x14ac:dyDescent="0.3">
      <c r="A4" s="20"/>
      <c r="B4" s="6" t="s">
        <v>8</v>
      </c>
      <c r="C4" s="24"/>
      <c r="D4" s="4">
        <v>4</v>
      </c>
      <c r="E4" s="12" t="s">
        <v>7</v>
      </c>
    </row>
    <row r="5" spans="1:5" x14ac:dyDescent="0.3">
      <c r="A5" s="20"/>
      <c r="B5" s="6" t="s">
        <v>9</v>
      </c>
      <c r="C5" s="24"/>
      <c r="D5" s="4">
        <v>7</v>
      </c>
      <c r="E5" s="12" t="s">
        <v>7</v>
      </c>
    </row>
    <row r="6" spans="1:5" x14ac:dyDescent="0.3">
      <c r="A6" s="20"/>
      <c r="B6" s="6" t="s">
        <v>10</v>
      </c>
      <c r="C6" s="24"/>
      <c r="D6" s="4">
        <v>7</v>
      </c>
      <c r="E6" s="12" t="s">
        <v>7</v>
      </c>
    </row>
    <row r="7" spans="1:5" x14ac:dyDescent="0.3">
      <c r="A7" s="20"/>
      <c r="B7" s="6" t="s">
        <v>11</v>
      </c>
      <c r="C7" s="24"/>
      <c r="D7" s="4">
        <v>6</v>
      </c>
      <c r="E7" s="12" t="s">
        <v>7</v>
      </c>
    </row>
    <row r="8" spans="1:5" x14ac:dyDescent="0.3">
      <c r="A8" s="20"/>
      <c r="B8" s="6" t="s">
        <v>12</v>
      </c>
      <c r="C8" s="24"/>
      <c r="D8" s="4">
        <v>5</v>
      </c>
      <c r="E8" s="12" t="s">
        <v>7</v>
      </c>
    </row>
    <row r="9" spans="1:5" x14ac:dyDescent="0.3">
      <c r="A9" s="20"/>
      <c r="B9" s="6" t="s">
        <v>13</v>
      </c>
      <c r="C9" s="24"/>
      <c r="D9" s="4">
        <v>5</v>
      </c>
      <c r="E9" s="12" t="s">
        <v>7</v>
      </c>
    </row>
    <row r="10" spans="1:5" x14ac:dyDescent="0.3">
      <c r="A10" s="20"/>
      <c r="B10" s="6" t="s">
        <v>13</v>
      </c>
      <c r="C10" s="4" t="s">
        <v>14</v>
      </c>
      <c r="D10" s="4">
        <v>3</v>
      </c>
      <c r="E10" s="12" t="s">
        <v>15</v>
      </c>
    </row>
    <row r="11" spans="1:5" x14ac:dyDescent="0.3">
      <c r="A11" s="20">
        <v>7</v>
      </c>
      <c r="B11" s="6" t="s">
        <v>16</v>
      </c>
      <c r="C11" s="20" t="s">
        <v>18</v>
      </c>
      <c r="D11" s="4">
        <v>12</v>
      </c>
      <c r="E11" s="12" t="s">
        <v>20</v>
      </c>
    </row>
    <row r="12" spans="1:5" x14ac:dyDescent="0.3">
      <c r="A12" s="20"/>
      <c r="B12" s="6" t="s">
        <v>17</v>
      </c>
      <c r="C12" s="20"/>
      <c r="D12" s="4">
        <v>1</v>
      </c>
      <c r="E12" s="12" t="s">
        <v>20</v>
      </c>
    </row>
    <row r="13" spans="1:5" x14ac:dyDescent="0.3">
      <c r="A13" s="20">
        <v>13</v>
      </c>
      <c r="B13" s="6" t="s">
        <v>21</v>
      </c>
      <c r="C13" s="20" t="s">
        <v>14</v>
      </c>
      <c r="D13" s="4">
        <v>12</v>
      </c>
      <c r="E13" s="12" t="s">
        <v>25</v>
      </c>
    </row>
    <row r="14" spans="1:5" x14ac:dyDescent="0.3">
      <c r="A14" s="20"/>
      <c r="B14" s="6" t="s">
        <v>22</v>
      </c>
      <c r="C14" s="20"/>
      <c r="D14" s="4">
        <v>2</v>
      </c>
      <c r="E14" s="12" t="s">
        <v>25</v>
      </c>
    </row>
    <row r="15" spans="1:5" x14ac:dyDescent="0.3">
      <c r="A15" s="20"/>
      <c r="B15" s="6" t="s">
        <v>23</v>
      </c>
      <c r="C15" s="20"/>
      <c r="D15" s="4">
        <v>78</v>
      </c>
      <c r="E15" s="12" t="s">
        <v>25</v>
      </c>
    </row>
    <row r="16" spans="1:5" x14ac:dyDescent="0.3">
      <c r="A16" s="20"/>
      <c r="B16" s="6" t="s">
        <v>24</v>
      </c>
      <c r="C16" s="20"/>
      <c r="D16" s="4">
        <v>2</v>
      </c>
      <c r="E16" s="12" t="s">
        <v>25</v>
      </c>
    </row>
    <row r="17" spans="1:5" ht="14.4" customHeight="1" x14ac:dyDescent="0.3">
      <c r="A17" s="20">
        <v>14</v>
      </c>
      <c r="B17" s="6" t="s">
        <v>26</v>
      </c>
      <c r="C17" s="20" t="s">
        <v>19</v>
      </c>
      <c r="D17" s="4">
        <v>4</v>
      </c>
      <c r="E17" s="12" t="s">
        <v>7</v>
      </c>
    </row>
    <row r="18" spans="1:5" x14ac:dyDescent="0.3">
      <c r="A18" s="20"/>
      <c r="B18" s="6" t="s">
        <v>27</v>
      </c>
      <c r="C18" s="20"/>
      <c r="D18" s="4">
        <v>8</v>
      </c>
      <c r="E18" s="12" t="s">
        <v>7</v>
      </c>
    </row>
    <row r="19" spans="1:5" x14ac:dyDescent="0.3">
      <c r="A19" s="20"/>
      <c r="B19" s="6" t="s">
        <v>28</v>
      </c>
      <c r="C19" s="20"/>
      <c r="D19" s="4">
        <v>3</v>
      </c>
      <c r="E19" s="12" t="s">
        <v>7</v>
      </c>
    </row>
    <row r="20" spans="1:5" x14ac:dyDescent="0.3">
      <c r="A20" s="20"/>
      <c r="B20" s="6" t="s">
        <v>26</v>
      </c>
      <c r="C20" s="20" t="s">
        <v>14</v>
      </c>
      <c r="D20" s="4">
        <v>9</v>
      </c>
      <c r="E20" s="12" t="s">
        <v>15</v>
      </c>
    </row>
    <row r="21" spans="1:5" x14ac:dyDescent="0.3">
      <c r="A21" s="20"/>
      <c r="B21" s="6" t="s">
        <v>27</v>
      </c>
      <c r="C21" s="20"/>
      <c r="D21" s="4">
        <v>6</v>
      </c>
      <c r="E21" s="12" t="s">
        <v>15</v>
      </c>
    </row>
    <row r="22" spans="1:5" x14ac:dyDescent="0.3">
      <c r="A22" s="20"/>
      <c r="B22" s="6" t="s">
        <v>28</v>
      </c>
      <c r="C22" s="20"/>
      <c r="D22" s="4">
        <v>9</v>
      </c>
      <c r="E22" s="12" t="s">
        <v>15</v>
      </c>
    </row>
    <row r="23" spans="1:5" x14ac:dyDescent="0.3">
      <c r="A23" s="17">
        <v>15</v>
      </c>
      <c r="B23" s="6" t="s">
        <v>29</v>
      </c>
      <c r="C23" s="20" t="s">
        <v>19</v>
      </c>
      <c r="D23" s="4">
        <v>13</v>
      </c>
      <c r="E23" s="12" t="s">
        <v>7</v>
      </c>
    </row>
    <row r="24" spans="1:5" x14ac:dyDescent="0.3">
      <c r="A24" s="18"/>
      <c r="B24" s="6" t="s">
        <v>30</v>
      </c>
      <c r="C24" s="20"/>
      <c r="D24" s="4">
        <v>8</v>
      </c>
      <c r="E24" s="12" t="s">
        <v>7</v>
      </c>
    </row>
    <row r="25" spans="1:5" x14ac:dyDescent="0.3">
      <c r="A25" s="18"/>
      <c r="B25" s="6" t="s">
        <v>31</v>
      </c>
      <c r="C25" s="20"/>
      <c r="D25" s="4">
        <v>9</v>
      </c>
      <c r="E25" s="12" t="s">
        <v>7</v>
      </c>
    </row>
    <row r="26" spans="1:5" x14ac:dyDescent="0.3">
      <c r="A26" s="18"/>
      <c r="B26" s="6" t="s">
        <v>32</v>
      </c>
      <c r="C26" s="20"/>
      <c r="D26" s="4">
        <v>7</v>
      </c>
      <c r="E26" s="12" t="s">
        <v>7</v>
      </c>
    </row>
    <row r="27" spans="1:5" x14ac:dyDescent="0.3">
      <c r="A27" s="18"/>
      <c r="B27" s="6" t="s">
        <v>33</v>
      </c>
      <c r="C27" s="20"/>
      <c r="D27" s="4">
        <v>14</v>
      </c>
      <c r="E27" s="12" t="s">
        <v>7</v>
      </c>
    </row>
    <row r="28" spans="1:5" x14ac:dyDescent="0.3">
      <c r="A28" s="18"/>
      <c r="B28" s="6" t="s">
        <v>34</v>
      </c>
      <c r="C28" s="20"/>
      <c r="D28" s="4">
        <v>24</v>
      </c>
      <c r="E28" s="12" t="s">
        <v>7</v>
      </c>
    </row>
    <row r="29" spans="1:5" x14ac:dyDescent="0.3">
      <c r="A29" s="18"/>
      <c r="B29" s="6" t="s">
        <v>35</v>
      </c>
      <c r="C29" s="20"/>
      <c r="D29" s="4">
        <v>11</v>
      </c>
      <c r="E29" s="12" t="s">
        <v>7</v>
      </c>
    </row>
    <row r="30" spans="1:5" x14ac:dyDescent="0.3">
      <c r="A30" s="18"/>
      <c r="B30" s="6" t="s">
        <v>29</v>
      </c>
      <c r="C30" s="20" t="s">
        <v>14</v>
      </c>
      <c r="D30" s="4">
        <v>11</v>
      </c>
      <c r="E30" s="12" t="s">
        <v>20</v>
      </c>
    </row>
    <row r="31" spans="1:5" x14ac:dyDescent="0.3">
      <c r="A31" s="18"/>
      <c r="B31" s="6" t="s">
        <v>30</v>
      </c>
      <c r="C31" s="20"/>
      <c r="D31" s="4">
        <v>17</v>
      </c>
      <c r="E31" s="12" t="s">
        <v>20</v>
      </c>
    </row>
    <row r="32" spans="1:5" x14ac:dyDescent="0.3">
      <c r="A32" s="18"/>
      <c r="B32" s="6" t="s">
        <v>31</v>
      </c>
      <c r="C32" s="20"/>
      <c r="D32" s="4">
        <v>9</v>
      </c>
      <c r="E32" s="12" t="s">
        <v>20</v>
      </c>
    </row>
    <row r="33" spans="1:5" x14ac:dyDescent="0.3">
      <c r="A33" s="18"/>
      <c r="B33" s="6" t="s">
        <v>32</v>
      </c>
      <c r="C33" s="20"/>
      <c r="D33" s="4">
        <v>18</v>
      </c>
      <c r="E33" s="12" t="s">
        <v>20</v>
      </c>
    </row>
    <row r="34" spans="1:5" ht="15" thickBot="1" x14ac:dyDescent="0.35">
      <c r="A34" s="19"/>
      <c r="B34" s="7" t="s">
        <v>33</v>
      </c>
      <c r="C34" s="21"/>
      <c r="D34" s="8">
        <v>20</v>
      </c>
      <c r="E34" s="13" t="s">
        <v>20</v>
      </c>
    </row>
    <row r="35" spans="1:5" x14ac:dyDescent="0.3">
      <c r="D35" s="1">
        <f>SUM(D3:D34)</f>
        <v>348</v>
      </c>
    </row>
  </sheetData>
  <autoFilter ref="A2:E35" xr:uid="{887E7E0D-A046-48BA-BA03-3F1443F4F744}"/>
  <mergeCells count="13">
    <mergeCell ref="A1:E1"/>
    <mergeCell ref="A23:A34"/>
    <mergeCell ref="A17:A22"/>
    <mergeCell ref="C17:C19"/>
    <mergeCell ref="C20:C22"/>
    <mergeCell ref="C23:C29"/>
    <mergeCell ref="C30:C34"/>
    <mergeCell ref="A3:A10"/>
    <mergeCell ref="C3:C9"/>
    <mergeCell ref="C11:C12"/>
    <mergeCell ref="A11:A12"/>
    <mergeCell ref="A13:A16"/>
    <mergeCell ref="C13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Leidy Vargas</cp:lastModifiedBy>
  <dcterms:created xsi:type="dcterms:W3CDTF">2026-02-06T19:00:53Z</dcterms:created>
  <dcterms:modified xsi:type="dcterms:W3CDTF">2026-03-13T22:47:43Z</dcterms:modified>
</cp:coreProperties>
</file>